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Плата" sheetId="1" r:id="rId1"/>
    <sheet name="Прочее" sheetId="3" r:id="rId2"/>
  </sheets>
  <calcPr calcId="144525"/>
</workbook>
</file>

<file path=xl/calcChain.xml><?xml version="1.0" encoding="utf-8"?>
<calcChain xmlns="http://schemas.openxmlformats.org/spreadsheetml/2006/main">
  <c r="G7" i="1" l="1"/>
  <c r="B11" i="1" l="1"/>
  <c r="G11" i="1"/>
  <c r="G10" i="1" l="1"/>
  <c r="G9" i="1"/>
  <c r="G5" i="1"/>
  <c r="G6" i="1"/>
  <c r="G8" i="1"/>
  <c r="G3" i="1"/>
  <c r="G4" i="1"/>
  <c r="G2" i="1"/>
  <c r="G2" i="3"/>
  <c r="G3" i="3"/>
  <c r="G4" i="3"/>
  <c r="G5" i="3"/>
  <c r="G7" i="3"/>
  <c r="G8" i="3"/>
  <c r="G6" i="3"/>
</calcChain>
</file>

<file path=xl/sharedStrings.xml><?xml version="1.0" encoding="utf-8"?>
<sst xmlns="http://schemas.openxmlformats.org/spreadsheetml/2006/main" count="102" uniqueCount="81">
  <si>
    <t>Наименование</t>
  </si>
  <si>
    <t>Количество</t>
  </si>
  <si>
    <t>Заглушка BNC</t>
  </si>
  <si>
    <t>Ссылка</t>
  </si>
  <si>
    <t>Назначение</t>
  </si>
  <si>
    <t>Статус</t>
  </si>
  <si>
    <t>Примечение</t>
  </si>
  <si>
    <t xml:space="preserve">Переход от RJ45 на корпусе к RJ45 на Nukleo </t>
  </si>
  <si>
    <t>Закрывать BNC-коннекторы</t>
  </si>
  <si>
    <t>Цена, руб/шт</t>
  </si>
  <si>
    <t>Стоимость, руб</t>
  </si>
  <si>
    <t>Подключение к прибору (питание + ST-Link SWDIO)</t>
  </si>
  <si>
    <t>https://ozon.ru/t/OMlRrO2</t>
  </si>
  <si>
    <t>Переход от USB на корпусе к USB на плате</t>
  </si>
  <si>
    <t>Type-C на корпус</t>
  </si>
  <si>
    <t>Кнопка-выключатель</t>
  </si>
  <si>
    <t>https://www.chipdip.ru/product/mirs-101-2c3-d-pereklyuchatel-krasnyy-s-jietong-switch-725811261</t>
  </si>
  <si>
    <t>Разрывает цепь 5V + индикация</t>
  </si>
  <si>
    <t>MicroUSB провод</t>
  </si>
  <si>
    <t>Угловой, чтобы было удобнее подключить</t>
  </si>
  <si>
    <t>В этом разъеме немного перепутана распиновка по цветам. В стандартном разъеме USB принято, что черный - "GND", красный "+5в", белый "D-", зеленый "D+". В этом разъеме первые три цвета совпадают, а к "D+" вместо зеленого подключен фиолетовый. Заглушка в комплекте</t>
  </si>
  <si>
    <t>https://www.chipdip.ru/product/razem-telefonnyy-rj45f71ra-rozetka-kontakty-8p-na-blok-8008603103</t>
  </si>
  <si>
    <t>Угловая занимает меньше места внутри корпуса</t>
  </si>
  <si>
    <t>https://www.chipdip.ru/product/hyr-0108-gb-108-bnc-7021-razem-bnc-shteker-zaglushka-hoyutec-18306</t>
  </si>
  <si>
    <t>https://www.chipdip.ru/product/bnc-7021-hyr-0108-gb-108-zaglushka-bnc-7021-hyr-0108-ruichi-8007161724</t>
  </si>
  <si>
    <t>https://static.chipdip.ru/lib/852/DOC005852894.pdf</t>
  </si>
  <si>
    <t>https://ozon.ru/t/UL99jAh</t>
  </si>
  <si>
    <t>Крепление цепочки должно быть ниже разъема</t>
  </si>
  <si>
    <t>STM32 Nukleo</t>
  </si>
  <si>
    <t>https://www.chipdip.ru/product/nucleo-f429zi-otladochnaya-plata-st-microelectronics-9000403510</t>
  </si>
  <si>
    <t>https://www.chipdip.ru/product/edr201a0500-rele-gerkonovoe-5v-1a-100v-ece-3459</t>
  </si>
  <si>
    <t>EDR201A0500</t>
  </si>
  <si>
    <t>Logic-Level n-MOSFET</t>
  </si>
  <si>
    <t>IRLML2803TRPBF</t>
  </si>
  <si>
    <t>https://www.chipdip.ru/product/irlml2803trpbf-tranzistor-n-kanal-30v-1.2a-logic-infineon-447047429</t>
  </si>
  <si>
    <t>Полный аналог
https://www.chipdip.ru/product/trr1a05d00-r-tai-shing-tti-8036687203
SMD
https://www.chipdip.ru/product/trr-1a-05-s-00r-tai-shing-tti-8001786496</t>
  </si>
  <si>
    <t>NUCLEO-F429ZI Отладочная плата</t>
  </si>
  <si>
    <t>Резисторы 0 Ом</t>
  </si>
  <si>
    <t>https://www.chipdip.ru/product/0.125vt-0805-peremychka-0-om-1-rc0805fr-070rl-chip-yageo-9000399733</t>
  </si>
  <si>
    <t>RC0805FR-070RL</t>
  </si>
  <si>
    <t>Реле герконовое</t>
  </si>
  <si>
    <t>100V 1A 5V DIP</t>
  </si>
  <si>
    <t>Альтернатива - NPN BC846A</t>
  </si>
  <si>
    <t>Резисторы 100 Ом</t>
  </si>
  <si>
    <t>0805 SMD</t>
  </si>
  <si>
    <t>https://www.chipdip.ru/product/0.125vt-0805-100-om-1-rc0805fr-07100rl-chip-rezistor-yageo-9000254335</t>
  </si>
  <si>
    <t>RC0805FR-07100RL</t>
  </si>
  <si>
    <t>Надо расположить с противоположной стороны от входного Type-C, там же где коннекторы</t>
  </si>
  <si>
    <t>https://www.chipdip.ru/product/pbd-80-ds1023-2x40-gnezdo-na-platu-2.54mm-2x40pin-connfly-39801</t>
  </si>
  <si>
    <t>Гнезда на плату</t>
  </si>
  <si>
    <t>https://www.chipdip.ru/product/plhd-80-ds-1029-04-2x40-soedinitel-mezhplatnyy-2.54mm-connfly-15695</t>
  </si>
  <si>
    <t>2.54мм 2х40pin</t>
  </si>
  <si>
    <t>Соединитель межплатный (на Nukleo)</t>
  </si>
  <si>
    <t>DS1029-04-2*40P8BVA10-B</t>
  </si>
  <si>
    <t>DS1023-2*40S21</t>
  </si>
  <si>
    <t>https://www.chipdip.ru/product/bnc-jr-ruichi-8012125313</t>
  </si>
  <si>
    <t>BNC-гнездо</t>
  </si>
  <si>
    <t>BNC-JR</t>
  </si>
  <si>
    <t>Чертеж
https://ruichi.ru/razaemy/vysokochastotnye-razaemy/razem-vysokochastotnyi-ruichi-bnc-jr-gnezdo-na-platu/</t>
  </si>
  <si>
    <t>50 Ом
Надо проверить соответствие высоты резьбы на плате с 3D-моделью</t>
  </si>
  <si>
    <t>https://ozon.ru/t/quQb2ul</t>
  </si>
  <si>
    <t>Патч корд 30 см</t>
  </si>
  <si>
    <t>Тонкий короткий провод, угловой для удобства</t>
  </si>
  <si>
    <t>https://aliexpress.ru/item/1005009317440293.html</t>
  </si>
  <si>
    <t>DIP 4 IC SOCKET</t>
  </si>
  <si>
    <t>DIP-4 панельки для установки реле</t>
  </si>
  <si>
    <t>по 2 шт на 1 реле</t>
  </si>
  <si>
    <t>В наличии</t>
  </si>
  <si>
    <t>G733</t>
  </si>
  <si>
    <t>Корпус 260x180x105 мм</t>
  </si>
  <si>
    <t>https://www.chipdip.ru/product/g733-korpus-dlya-rea-260x180x105mm-plastik-gainta-236156751</t>
  </si>
  <si>
    <t>https://static.chipdip.ru/lib/414/DOC014414780.pdf</t>
  </si>
  <si>
    <t>Подключение к прибору</t>
  </si>
  <si>
    <t>RJ45 на корпус</t>
  </si>
  <si>
    <t>Документация</t>
  </si>
  <si>
    <t>RC0805FR-07100KL</t>
  </si>
  <si>
    <t>Резисторы 10 кОм</t>
  </si>
  <si>
    <t>https://www.chipdip.ru/product/0.125vt-0805-10-kom-1-rc0805fr-0710kl-chip-rezistor-yageo-9000272499</t>
  </si>
  <si>
    <t>SOT-23</t>
  </si>
  <si>
    <t>Не требуется</t>
  </si>
  <si>
    <t>Требуется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</si>
</sst>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chipdip.ru/lib/414/DOC014414780.pdf" TargetMode="External"/><Relationship Id="rId3" Type="http://schemas.openxmlformats.org/officeDocument/2006/relationships/hyperlink" Target="https://www.chipdip.ru/product/hyr-0108-gb-108-bnc-7021-razem-bnc-shteker-zaglushka-hoyutec-18306" TargetMode="External"/><Relationship Id="rId7" Type="http://schemas.openxmlformats.org/officeDocument/2006/relationships/hyperlink" Target="https://www.chipdip.ru/product/mirs-101-2c3-d-pereklyuchatel-krasnyy-s-jietong-switch-725811261" TargetMode="External"/><Relationship Id="rId2" Type="http://schemas.openxmlformats.org/officeDocument/2006/relationships/hyperlink" Target="https://www.chipdip.ru/product/razem-telefonnyy-rj45f71ra-rozetka-kontakty-8p-na-blok-8008603103" TargetMode="External"/><Relationship Id="rId1" Type="http://schemas.openxmlformats.org/officeDocument/2006/relationships/hyperlink" Target="https://ozon.ru/t/OMlRrO2" TargetMode="External"/><Relationship Id="rId6" Type="http://schemas.openxmlformats.org/officeDocument/2006/relationships/hyperlink" Target="https://ozon.ru/t/UL99jAh" TargetMode="External"/><Relationship Id="rId5" Type="http://schemas.openxmlformats.org/officeDocument/2006/relationships/hyperlink" Target="https://static.chipdip.ru/lib/852/DOC005852894.pdf" TargetMode="External"/><Relationship Id="rId4" Type="http://schemas.openxmlformats.org/officeDocument/2006/relationships/hyperlink" Target="https://www.chipdip.ru/product/bnc-7021-hyr-0108-gb-108-zaglushka-bnc-7021-hyr-0108-ruichi-8007161724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width="26" style="1" bestFit="1" customWidth="1"/>
    <col min="2" max="2" width="11.5703125" style="1" bestFit="1" customWidth="1"/>
    <col min="3" max="3" width="38" style="1" bestFit="1" customWidth="1"/>
    <col min="4" max="4" width="13.140625" style="1" bestFit="1" customWidth="1"/>
    <col min="5" max="5" width="22.5703125" style="1" bestFit="1" customWidth="1"/>
    <col min="6" max="6" width="13.42578125" style="1" bestFit="1" customWidth="1"/>
    <col min="7" max="7" width="15" style="1" bestFit="1" customWidth="1"/>
    <col min="8" max="8" width="97.85546875" style="1" bestFit="1" customWidth="1"/>
    <col min="9" max="9" width="44.28515625" style="1" customWidth="1"/>
    <col min="10" max="16384" width="9.140625" style="1"/>
  </cols>
  <sheetData>
    <row r="1" spans="1:9" x14ac:dyDescent="0.25">
      <c r="A1" s="9" t="s">
        <v>0</v>
      </c>
      <c r="B1" s="9" t="s">
        <v>1</v>
      </c>
      <c r="C1" s="9" t="s">
        <v>4</v>
      </c>
      <c r="D1" s="9" t="s">
        <v>5</v>
      </c>
      <c r="E1" s="9" t="s">
        <v>6</v>
      </c>
      <c r="F1" s="9" t="s">
        <v>9</v>
      </c>
      <c r="G1" s="9" t="s">
        <v>10</v>
      </c>
      <c r="H1" s="9" t="s">
        <v>3</v>
      </c>
      <c r="I1" s="9"/>
    </row>
    <row r="2" spans="1:9" x14ac:dyDescent="0.25">
      <c r="A2" s="2" t="s">
        <v>28</v>
      </c>
      <c r="B2" s="2">
        <v>1</v>
      </c>
      <c r="C2" s="2" t="s">
        <v>36</v>
      </c>
      <c r="D2" s="8" t="s">
        <v>80</v>
      </c>
      <c r="E2" s="2"/>
      <c r="F2" s="2">
        <v>10600</v>
      </c>
      <c r="G2" s="2">
        <f>B2*F2</f>
        <v>10600</v>
      </c>
      <c r="H2" s="2" t="s">
        <v>29</v>
      </c>
      <c r="I2" s="2"/>
    </row>
    <row r="3" spans="1:9" ht="105" x14ac:dyDescent="0.25">
      <c r="A3" s="2" t="s">
        <v>31</v>
      </c>
      <c r="B3" s="2">
        <v>16</v>
      </c>
      <c r="C3" s="2" t="s">
        <v>40</v>
      </c>
      <c r="D3" s="8" t="s">
        <v>80</v>
      </c>
      <c r="E3" s="2" t="s">
        <v>41</v>
      </c>
      <c r="F3" s="2">
        <v>300</v>
      </c>
      <c r="G3" s="2">
        <f t="shared" ref="G3:G11" si="0">B3*F3</f>
        <v>4800</v>
      </c>
      <c r="H3" s="2" t="s">
        <v>30</v>
      </c>
      <c r="I3" s="3" t="s">
        <v>35</v>
      </c>
    </row>
    <row r="4" spans="1:9" x14ac:dyDescent="0.25">
      <c r="A4" s="2" t="s">
        <v>33</v>
      </c>
      <c r="B4" s="2">
        <v>16</v>
      </c>
      <c r="C4" s="2" t="s">
        <v>32</v>
      </c>
      <c r="D4" s="8" t="s">
        <v>80</v>
      </c>
      <c r="E4" s="2" t="s">
        <v>78</v>
      </c>
      <c r="F4" s="2">
        <v>11</v>
      </c>
      <c r="G4" s="2">
        <f t="shared" si="0"/>
        <v>176</v>
      </c>
      <c r="H4" s="2" t="s">
        <v>34</v>
      </c>
      <c r="I4" s="2" t="s">
        <v>42</v>
      </c>
    </row>
    <row r="5" spans="1:9" x14ac:dyDescent="0.25">
      <c r="A5" s="2" t="s">
        <v>39</v>
      </c>
      <c r="B5" s="2">
        <v>1</v>
      </c>
      <c r="C5" s="2" t="s">
        <v>37</v>
      </c>
      <c r="D5" s="8" t="s">
        <v>80</v>
      </c>
      <c r="E5" s="2" t="s">
        <v>44</v>
      </c>
      <c r="F5" s="2">
        <v>2</v>
      </c>
      <c r="G5" s="2">
        <f t="shared" si="0"/>
        <v>2</v>
      </c>
      <c r="H5" s="2" t="s">
        <v>38</v>
      </c>
      <c r="I5" s="2"/>
    </row>
    <row r="6" spans="1:9" x14ac:dyDescent="0.25">
      <c r="A6" s="2" t="s">
        <v>46</v>
      </c>
      <c r="B6" s="2">
        <v>16</v>
      </c>
      <c r="C6" s="2" t="s">
        <v>43</v>
      </c>
      <c r="D6" s="8" t="s">
        <v>80</v>
      </c>
      <c r="E6" s="2" t="s">
        <v>44</v>
      </c>
      <c r="F6" s="2">
        <v>2</v>
      </c>
      <c r="G6" s="2">
        <f t="shared" si="0"/>
        <v>32</v>
      </c>
      <c r="H6" s="2" t="s">
        <v>45</v>
      </c>
      <c r="I6" s="2"/>
    </row>
    <row r="7" spans="1:9" x14ac:dyDescent="0.25">
      <c r="A7" s="2" t="s">
        <v>75</v>
      </c>
      <c r="B7" s="2">
        <v>16</v>
      </c>
      <c r="C7" s="2" t="s">
        <v>76</v>
      </c>
      <c r="D7" s="8" t="s">
        <v>80</v>
      </c>
      <c r="E7" s="2" t="s">
        <v>44</v>
      </c>
      <c r="F7" s="2">
        <v>2</v>
      </c>
      <c r="G7" s="2">
        <f t="shared" si="0"/>
        <v>32</v>
      </c>
      <c r="H7" s="2" t="s">
        <v>77</v>
      </c>
      <c r="I7" s="2"/>
    </row>
    <row r="8" spans="1:9" x14ac:dyDescent="0.25">
      <c r="A8" s="2" t="s">
        <v>54</v>
      </c>
      <c r="B8" s="2">
        <v>2</v>
      </c>
      <c r="C8" s="2" t="s">
        <v>49</v>
      </c>
      <c r="D8" s="7" t="s">
        <v>79</v>
      </c>
      <c r="E8" s="2" t="s">
        <v>51</v>
      </c>
      <c r="F8" s="2">
        <v>42</v>
      </c>
      <c r="G8" s="2">
        <f t="shared" si="0"/>
        <v>84</v>
      </c>
      <c r="H8" s="2" t="s">
        <v>48</v>
      </c>
      <c r="I8" s="2"/>
    </row>
    <row r="9" spans="1:9" x14ac:dyDescent="0.25">
      <c r="A9" s="2" t="s">
        <v>53</v>
      </c>
      <c r="B9" s="2">
        <v>2</v>
      </c>
      <c r="C9" s="2" t="s">
        <v>52</v>
      </c>
      <c r="D9" s="8" t="s">
        <v>80</v>
      </c>
      <c r="E9" s="2" t="s">
        <v>51</v>
      </c>
      <c r="F9" s="2">
        <v>110</v>
      </c>
      <c r="G9" s="2">
        <f t="shared" si="0"/>
        <v>220</v>
      </c>
      <c r="H9" s="2" t="s">
        <v>50</v>
      </c>
      <c r="I9" s="2"/>
    </row>
    <row r="10" spans="1:9" ht="90" x14ac:dyDescent="0.25">
      <c r="A10" s="2" t="s">
        <v>57</v>
      </c>
      <c r="B10" s="2">
        <v>8</v>
      </c>
      <c r="C10" s="2" t="s">
        <v>56</v>
      </c>
      <c r="D10" s="8" t="s">
        <v>80</v>
      </c>
      <c r="E10" s="3" t="s">
        <v>59</v>
      </c>
      <c r="F10" s="2">
        <v>45</v>
      </c>
      <c r="G10" s="2">
        <f t="shared" si="0"/>
        <v>360</v>
      </c>
      <c r="H10" s="2" t="s">
        <v>55</v>
      </c>
      <c r="I10" s="3" t="s">
        <v>58</v>
      </c>
    </row>
    <row r="11" spans="1:9" x14ac:dyDescent="0.25">
      <c r="A11" s="2" t="s">
        <v>64</v>
      </c>
      <c r="B11" s="2">
        <f>B3*2</f>
        <v>32</v>
      </c>
      <c r="C11" s="2" t="s">
        <v>65</v>
      </c>
      <c r="D11" s="4" t="s">
        <v>67</v>
      </c>
      <c r="E11" s="2" t="s">
        <v>66</v>
      </c>
      <c r="F11" s="2">
        <v>0</v>
      </c>
      <c r="G11" s="2">
        <f t="shared" si="0"/>
        <v>0</v>
      </c>
      <c r="H11" s="2" t="s">
        <v>63</v>
      </c>
      <c r="I1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20.85546875" style="1" bestFit="1" customWidth="1"/>
    <col min="2" max="2" width="11.5703125" style="1" bestFit="1" customWidth="1"/>
    <col min="3" max="3" width="40.28515625" style="1" bestFit="1" customWidth="1"/>
    <col min="4" max="4" width="13.140625" style="1" bestFit="1" customWidth="1"/>
    <col min="5" max="5" width="51" style="1" customWidth="1"/>
    <col min="6" max="6" width="13.42578125" style="1" bestFit="1" customWidth="1"/>
    <col min="7" max="7" width="15" style="1" bestFit="1" customWidth="1"/>
    <col min="8" max="8" width="96.7109375" style="1" bestFit="1" customWidth="1"/>
    <col min="9" max="9" width="99" style="1" bestFit="1" customWidth="1"/>
    <col min="10" max="16384" width="9.140625" style="1"/>
  </cols>
  <sheetData>
    <row r="1" spans="1:9" x14ac:dyDescent="0.25">
      <c r="A1" s="9" t="s">
        <v>0</v>
      </c>
      <c r="B1" s="9" t="s">
        <v>1</v>
      </c>
      <c r="C1" s="9" t="s">
        <v>4</v>
      </c>
      <c r="D1" s="9" t="s">
        <v>5</v>
      </c>
      <c r="E1" s="9" t="s">
        <v>6</v>
      </c>
      <c r="F1" s="9" t="s">
        <v>9</v>
      </c>
      <c r="G1" s="9" t="s">
        <v>10</v>
      </c>
      <c r="H1" s="9" t="s">
        <v>3</v>
      </c>
      <c r="I1" s="9" t="s">
        <v>74</v>
      </c>
    </row>
    <row r="2" spans="1:9" x14ac:dyDescent="0.25">
      <c r="A2" s="2" t="s">
        <v>68</v>
      </c>
      <c r="B2" s="2">
        <v>1</v>
      </c>
      <c r="C2" s="2" t="s">
        <v>69</v>
      </c>
      <c r="D2" s="8" t="s">
        <v>80</v>
      </c>
      <c r="E2" s="2"/>
      <c r="F2" s="2">
        <v>1660</v>
      </c>
      <c r="G2" s="2">
        <f t="shared" ref="G2:G5" si="0">F2*B2</f>
        <v>1660</v>
      </c>
      <c r="H2" s="5" t="s">
        <v>70</v>
      </c>
      <c r="I2" s="5" t="s">
        <v>71</v>
      </c>
    </row>
    <row r="3" spans="1:9" x14ac:dyDescent="0.25">
      <c r="A3" s="2" t="s">
        <v>2</v>
      </c>
      <c r="B3" s="2">
        <v>8</v>
      </c>
      <c r="C3" s="2" t="s">
        <v>8</v>
      </c>
      <c r="D3" s="7" t="s">
        <v>79</v>
      </c>
      <c r="E3" s="2" t="s">
        <v>27</v>
      </c>
      <c r="F3" s="2">
        <v>140</v>
      </c>
      <c r="G3" s="2">
        <f t="shared" si="0"/>
        <v>1120</v>
      </c>
      <c r="H3" s="5" t="s">
        <v>23</v>
      </c>
      <c r="I3" s="5" t="s">
        <v>24</v>
      </c>
    </row>
    <row r="4" spans="1:9" x14ac:dyDescent="0.25">
      <c r="A4" s="2" t="s">
        <v>73</v>
      </c>
      <c r="B4" s="2">
        <v>1</v>
      </c>
      <c r="C4" s="2" t="s">
        <v>72</v>
      </c>
      <c r="D4" s="2"/>
      <c r="E4" s="2" t="s">
        <v>22</v>
      </c>
      <c r="F4" s="2">
        <v>1470</v>
      </c>
      <c r="G4" s="2">
        <f t="shared" si="0"/>
        <v>1470</v>
      </c>
      <c r="H4" s="5" t="s">
        <v>21</v>
      </c>
      <c r="I4" s="5" t="s">
        <v>25</v>
      </c>
    </row>
    <row r="5" spans="1:9" ht="30" x14ac:dyDescent="0.25">
      <c r="A5" s="2" t="s">
        <v>61</v>
      </c>
      <c r="B5" s="2">
        <v>1</v>
      </c>
      <c r="C5" s="3" t="s">
        <v>7</v>
      </c>
      <c r="D5" s="2"/>
      <c r="E5" s="2" t="s">
        <v>62</v>
      </c>
      <c r="F5" s="2">
        <v>213</v>
      </c>
      <c r="G5" s="2">
        <f t="shared" si="0"/>
        <v>213</v>
      </c>
      <c r="H5" s="6" t="s">
        <v>60</v>
      </c>
      <c r="I5" s="2"/>
    </row>
    <row r="6" spans="1:9" ht="90" x14ac:dyDescent="0.25">
      <c r="A6" s="2" t="s">
        <v>14</v>
      </c>
      <c r="B6" s="2">
        <v>1</v>
      </c>
      <c r="C6" s="3" t="s">
        <v>11</v>
      </c>
      <c r="D6" s="2"/>
      <c r="E6" s="3" t="s">
        <v>20</v>
      </c>
      <c r="F6" s="2">
        <v>146</v>
      </c>
      <c r="G6" s="2">
        <f>F6*B6</f>
        <v>146</v>
      </c>
      <c r="H6" s="5" t="s">
        <v>12</v>
      </c>
      <c r="I6" s="2"/>
    </row>
    <row r="7" spans="1:9" x14ac:dyDescent="0.25">
      <c r="A7" s="2" t="s">
        <v>18</v>
      </c>
      <c r="B7" s="2">
        <v>1</v>
      </c>
      <c r="C7" s="2" t="s">
        <v>13</v>
      </c>
      <c r="D7" s="2"/>
      <c r="E7" s="2" t="s">
        <v>19</v>
      </c>
      <c r="F7" s="2">
        <v>211</v>
      </c>
      <c r="G7" s="2">
        <f t="shared" ref="G7:G8" si="1">F7*B7</f>
        <v>211</v>
      </c>
      <c r="H7" s="5" t="s">
        <v>26</v>
      </c>
      <c r="I7" s="2"/>
    </row>
    <row r="8" spans="1:9" ht="30" x14ac:dyDescent="0.25">
      <c r="A8" s="2" t="s">
        <v>15</v>
      </c>
      <c r="B8" s="2">
        <v>1</v>
      </c>
      <c r="C8" s="2" t="s">
        <v>17</v>
      </c>
      <c r="D8" s="4" t="s">
        <v>67</v>
      </c>
      <c r="E8" s="3" t="s">
        <v>47</v>
      </c>
      <c r="F8" s="2">
        <v>63</v>
      </c>
      <c r="G8" s="2">
        <f t="shared" si="1"/>
        <v>63</v>
      </c>
      <c r="H8" s="5" t="s">
        <v>16</v>
      </c>
      <c r="I8" s="2"/>
    </row>
  </sheetData>
  <hyperlinks>
    <hyperlink ref="H6" r:id="rId1"/>
    <hyperlink ref="H4" r:id="rId2"/>
    <hyperlink ref="H3" r:id="rId3"/>
    <hyperlink ref="I3" r:id="rId4"/>
    <hyperlink ref="I4" r:id="rId5"/>
    <hyperlink ref="H7" r:id="rId6"/>
    <hyperlink ref="H8" r:id="rId7"/>
    <hyperlink ref="I2" r:id="rId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Плата</vt:lpstr>
      <vt:lpstr>Прочее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2025-12-03T22:11:44Z</dcterms:modified>
</cp:coreProperties>
</file>